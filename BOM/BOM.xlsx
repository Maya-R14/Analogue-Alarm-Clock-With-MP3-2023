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School\SEMESTER 8\PROJECT 2\For Submission\Documentation - Final\BOM\"/>
    </mc:Choice>
  </mc:AlternateContent>
  <xr:revisionPtr revIDLastSave="0" documentId="13_ncr:1_{BA55BF68-5488-4B4A-BA97-0427138DB7C6}" xr6:coauthVersionLast="47" xr6:coauthVersionMax="47" xr10:uidLastSave="{00000000-0000-0000-0000-000000000000}"/>
  <bookViews>
    <workbookView xWindow="-108" yWindow="-108" windowWidth="23256" windowHeight="12576" xr2:uid="{B11DC151-2B13-41D1-BB96-1C458A21A93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12" i="1"/>
  <c r="G13" i="1"/>
  <c r="G14" i="1"/>
  <c r="G15" i="1"/>
  <c r="G16" i="1"/>
  <c r="G17" i="1"/>
  <c r="G18" i="1"/>
  <c r="G19" i="1"/>
  <c r="G20" i="1"/>
  <c r="G11" i="1"/>
  <c r="G10" i="1"/>
  <c r="G9" i="1"/>
  <c r="G8" i="1"/>
  <c r="G7" i="1"/>
  <c r="G4" i="1"/>
  <c r="G5" i="1"/>
  <c r="G6" i="1"/>
  <c r="G3" i="1"/>
  <c r="G24" i="1" l="1"/>
  <c r="G25" i="1" s="1"/>
</calcChain>
</file>

<file path=xl/sharedStrings.xml><?xml version="1.0" encoding="utf-8"?>
<sst xmlns="http://schemas.openxmlformats.org/spreadsheetml/2006/main" count="69" uniqueCount="69">
  <si>
    <t>#</t>
  </si>
  <si>
    <t>Name of Product</t>
  </si>
  <si>
    <t>Part #</t>
  </si>
  <si>
    <t>Quantity</t>
  </si>
  <si>
    <t>Unity Cost</t>
  </si>
  <si>
    <t>Cost</t>
  </si>
  <si>
    <t>Source</t>
  </si>
  <si>
    <t>Datasheet/Info</t>
  </si>
  <si>
    <t>Stepper Motor (With Driver Board)</t>
  </si>
  <si>
    <t>MOT-28BYJ48</t>
  </si>
  <si>
    <t xml:space="preserve">PIC Microcontroller </t>
  </si>
  <si>
    <t>PIC16F690-I/P</t>
  </si>
  <si>
    <t>https://ww1.microchip.com/downloads/en/devicedoc/41262a.pdf</t>
  </si>
  <si>
    <t>RTC Module</t>
  </si>
  <si>
    <t>ARD-DS3231</t>
  </si>
  <si>
    <t>https://www.analog.com/media/en/technical-documentation/data-sheets/ds3231.pdf</t>
  </si>
  <si>
    <t>Rotary Encoder</t>
  </si>
  <si>
    <t>SW-ENC-03</t>
  </si>
  <si>
    <t>Arduino Nano Board</t>
  </si>
  <si>
    <t>ABRANANO</t>
  </si>
  <si>
    <t>Subtotal</t>
  </si>
  <si>
    <t>Total</t>
  </si>
  <si>
    <t>Magnetic Hall Effect Sensor</t>
  </si>
  <si>
    <t>SENS-67</t>
  </si>
  <si>
    <t>DFPlayer - MP3 Player Module</t>
  </si>
  <si>
    <t>DFR0299</t>
  </si>
  <si>
    <t>MAG-N-03</t>
  </si>
  <si>
    <t>Speaker - 4ohms 3 Watts</t>
  </si>
  <si>
    <t>1314-ADA</t>
  </si>
  <si>
    <t>Round Magnets 3x3mm (20 Pack)</t>
  </si>
  <si>
    <t>IC Socket 18 Pin</t>
  </si>
  <si>
    <t>18LP</t>
  </si>
  <si>
    <t>IC Socket 20 Pin</t>
  </si>
  <si>
    <t>20LP</t>
  </si>
  <si>
    <t xml:space="preserve">Slide Switch SPDT </t>
  </si>
  <si>
    <t>SSW-110</t>
  </si>
  <si>
    <t>Normal Open - Push Button</t>
  </si>
  <si>
    <t>NO-112RD</t>
  </si>
  <si>
    <t>40 Pin Header</t>
  </si>
  <si>
    <t>FH-1</t>
  </si>
  <si>
    <t>3-Pin Terminal Block, 3 Pack</t>
  </si>
  <si>
    <t>2-Pin Terminal Block, 4 Pack</t>
  </si>
  <si>
    <t>4-Pin Terminal Block, 2 Pack</t>
  </si>
  <si>
    <t>5-Pin Terminal Block, 2 Pack</t>
  </si>
  <si>
    <t>2491P</t>
  </si>
  <si>
    <t>2492P</t>
  </si>
  <si>
    <t>2493P</t>
  </si>
  <si>
    <t>2494P</t>
  </si>
  <si>
    <t>PCB</t>
  </si>
  <si>
    <t>Y3</t>
  </si>
  <si>
    <t>https://wiki.dfrobot.com/DFPlayer_Mini_SKU_DFR0299</t>
  </si>
  <si>
    <t>Electromechanical :: Motors :: Stepper Motors :: Mini Stepper Motors :: MOT-28BYJ48 Stepper Motor w/ ULN2003 Driver (abra-electronics.com)</t>
  </si>
  <si>
    <t>PIC16F690-I/P IC,PIC16F690-I/P,PDIP-20,7K FL 256B RAM,8b MCU,18 I/O,20MHz (abra-electronics.com)</t>
  </si>
  <si>
    <t>Super Accurate Real Time Clock DS3231 AT24C32 (abra-electronics.com)</t>
  </si>
  <si>
    <t>Digital Rotatory Potentiometer Module for Arduino (abra-electronics.com)</t>
  </si>
  <si>
    <t>ABRA Arduino Nano V3.0 Compatible- ATmega328P (abra-electronics.com)</t>
  </si>
  <si>
    <t>Linear Hall Magnetic Module For Arduino (abra-electronics.com)</t>
  </si>
  <si>
    <t>DFR0299 DFPlayer - A Mini MP3 Player (abra-electronics.com)</t>
  </si>
  <si>
    <t>1314-ADA Speaker - 3" Diameter - 4 Ohm 3 Watt (abra-electronics.com)</t>
  </si>
  <si>
    <t>18LP Solder Tail Low Profile Socket - 18 Pins (abra-electronics.com)</t>
  </si>
  <si>
    <t>20LP Solder Tail Low Profile Socket - 20 Pins (abra-electronics.com)</t>
  </si>
  <si>
    <t>SSW-110 Solder Slide Switch SPDT On-On (abra-electronics.com)</t>
  </si>
  <si>
    <t>Momentary Push Button Switch Red - Normally Open (abra-electronics.com)</t>
  </si>
  <si>
    <t>FH-1 Header, 1 row X 40 pins Straight Female Receptacle (abra-electronics.com)</t>
  </si>
  <si>
    <t>Interconnects :: Terminals/Blocks/Barrier :: Terminal Blocks :: Screw Terminal Blocks :: 2491P Screw Terminal Block: 2-Pin, 0.1″ Pitch, Side Entry (4-Pack) (abra-electronics.com)</t>
  </si>
  <si>
    <t>Interconnects :: Terminals/Blocks/Barrier :: Terminal Blocks :: Screw Terminal Blocks :: 2492P Screw Terminal Block: 3-Pin, 0.1″ Pitch, Side Entry (3-Pack) (abra-electronics.com)</t>
  </si>
  <si>
    <t>Interconnects :: Terminals/Blocks/Barrier :: Terminal Blocks :: Screw Terminal Blocks :: 2493P Screw Terminal Block: 4-Pin, 0.1″ Pitch, Side Entry (2-Pack) (abra-electronics.com)</t>
  </si>
  <si>
    <t>Interconnects :: Terminals/Blocks/Barrier :: Terminal Blocks :: Screw Terminal Blocks :: 2494P Screw Terminal Block: 5-Pin, 0.1″ Pitch, Side Entry (2-Pack) (abra-electronics.com)</t>
  </si>
  <si>
    <t>PCB Prototype &amp; PCB Fabrication Manufacturer - 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</si>
</sst>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 vertical="center"/>
    </xf>
    <xf numFmtId="0" fontId="2" fillId="0" borderId="1" xfId="2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bra-electronics.com/robotics-embedded-electronics/arduino-boards/abranano-abra-arduino-nano-v3.0-compatible-atmega328p.html" TargetMode="External"/><Relationship Id="rId13" Type="http://schemas.openxmlformats.org/officeDocument/2006/relationships/hyperlink" Target="https://abra-electronics.com/electromechanical/switches/slide-switches/ssw-110-slide-switch-spdt-on-on-solder-tabs.html" TargetMode="External"/><Relationship Id="rId18" Type="http://schemas.openxmlformats.org/officeDocument/2006/relationships/hyperlink" Target="https://abra-electronics.com/interconnects/terminals-blocks-barrier/terminal-blocks/screw-terminal-blocks/2492p-screw-terminal-block-3-pin-0.1-pitch-side-entry-3-pack.html" TargetMode="External"/><Relationship Id="rId3" Type="http://schemas.openxmlformats.org/officeDocument/2006/relationships/hyperlink" Target="https://wiki.dfrobot.com/DFPlayer_Mini_SKU_DFR0299" TargetMode="External"/><Relationship Id="rId21" Type="http://schemas.openxmlformats.org/officeDocument/2006/relationships/hyperlink" Target="https://jlcpcb.com/" TargetMode="External"/><Relationship Id="rId7" Type="http://schemas.openxmlformats.org/officeDocument/2006/relationships/hyperlink" Target="https://abra-electronics.com/passive-components/potentiometers/digital-potentiometers/digital-rotatory-potentiometer-module-for-arduino.html" TargetMode="External"/><Relationship Id="rId12" Type="http://schemas.openxmlformats.org/officeDocument/2006/relationships/hyperlink" Target="https://abra-electronics.com/interconnects/sockets/standard-tin-low-profile-sockets/20lp-solder-tail-low-profile-socket-20-pins-20lp.html" TargetMode="External"/><Relationship Id="rId17" Type="http://schemas.openxmlformats.org/officeDocument/2006/relationships/hyperlink" Target="https://abra-electronics.com/interconnects/terminals-blocks-barrier/terminal-blocks/screw-terminal-blocks/2491p-screw-terminal-block-2-pin-0.1-pitch-side-entry-4-pack.html" TargetMode="External"/><Relationship Id="rId2" Type="http://schemas.openxmlformats.org/officeDocument/2006/relationships/hyperlink" Target="https://www.analog.com/media/en/technical-documentation/data-sheets/ds3231.pdf" TargetMode="External"/><Relationship Id="rId16" Type="http://schemas.openxmlformats.org/officeDocument/2006/relationships/hyperlink" Target="https://abra-electronics.com/interconnects/sockets/standard-tin-low-profile-sockets/18lp-solder-tail-low-profile-socket-18-pins-18lp.html" TargetMode="External"/><Relationship Id="rId20" Type="http://schemas.openxmlformats.org/officeDocument/2006/relationships/hyperlink" Target="https://abra-electronics.com/interconnects/terminals-blocks-barrier/terminal-blocks/screw-terminal-blocks/2494p-screw-terminal-block-5-pin-0.1-pitch-side-entry-2-pack.html" TargetMode="External"/><Relationship Id="rId1" Type="http://schemas.openxmlformats.org/officeDocument/2006/relationships/hyperlink" Target="https://ww1.microchip.com/downloads/en/devicedoc/41262a.pdf" TargetMode="External"/><Relationship Id="rId6" Type="http://schemas.openxmlformats.org/officeDocument/2006/relationships/hyperlink" Target="https://abra-electronics.com/robotics-embedded-electronics/breakout-boards/clocks/ard-ds3231-super-accurate-real-time-clock-ds3231.html" TargetMode="External"/><Relationship Id="rId11" Type="http://schemas.openxmlformats.org/officeDocument/2006/relationships/hyperlink" Target="https://abra-electronics.com/electromechanical/audible-devices/speakers/1314-ada-speaker-3-diameter-4-ohm-3-watt-1314-ada.html" TargetMode="External"/><Relationship Id="rId5" Type="http://schemas.openxmlformats.org/officeDocument/2006/relationships/hyperlink" Target="https://abra-electronics.com/ics-semiconductors/microcontrollers-pic/pic16f690-i-p-icpic16f690-i-ppdip-207k-fl-256b-ram8b-mcu18-i-o20mhz-pic16f690-i-p.html" TargetMode="External"/><Relationship Id="rId15" Type="http://schemas.openxmlformats.org/officeDocument/2006/relationships/hyperlink" Target="https://abra-electronics.com/interconnects/connectors/headers/female/fh-1-header-1-row-x-40-pins-straight-female-receptacle.html" TargetMode="External"/><Relationship Id="rId10" Type="http://schemas.openxmlformats.org/officeDocument/2006/relationships/hyperlink" Target="https://abra-electronics.com/robotics-embedded-electronics/arduino-shields/audio-video-game-shields/dfr0299-dfplayer-a-mini-mp3-player-dfr0299.html" TargetMode="External"/><Relationship Id="rId19" Type="http://schemas.openxmlformats.org/officeDocument/2006/relationships/hyperlink" Target="https://abra-electronics.com/interconnects/terminals-blocks-barrier/terminal-blocks/screw-terminal-blocks/2493p-screw-terminal-block-4-pin-0.1-pitch-side-entry-2-pack.html" TargetMode="External"/><Relationship Id="rId4" Type="http://schemas.openxmlformats.org/officeDocument/2006/relationships/hyperlink" Target="https://abra-electronics.com/electromechanical/motors/stepper-motors/mini-stepper-motors/mot-28byj48-stepper-motor-w-uln2003-driver.html" TargetMode="External"/><Relationship Id="rId9" Type="http://schemas.openxmlformats.org/officeDocument/2006/relationships/hyperlink" Target="https://abra-electronics.com/sensors/sensors-magneto-en-2/sens-67-magnetic-hall-effect-sensor-for-5v-microcontrollers.html" TargetMode="External"/><Relationship Id="rId14" Type="http://schemas.openxmlformats.org/officeDocument/2006/relationships/hyperlink" Target="https://abra-electronics.com/electromechanical/switches/pushbutton-switches/momentary-push-button-switch-red-normally-open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CF6A-CCF1-48B6-B670-340432D422A8}">
  <dimension ref="B2:I25"/>
  <sheetViews>
    <sheetView tabSelected="1" zoomScale="65" zoomScaleNormal="85" workbookViewId="0">
      <selection activeCell="H28" sqref="H28"/>
    </sheetView>
  </sheetViews>
  <sheetFormatPr defaultRowHeight="14.4" x14ac:dyDescent="0.3"/>
  <cols>
    <col min="2" max="2" width="3" bestFit="1" customWidth="1"/>
    <col min="3" max="3" width="30.44140625" bestFit="1" customWidth="1"/>
    <col min="4" max="4" width="12.6640625" bestFit="1" customWidth="1"/>
    <col min="5" max="5" width="8.33203125" bestFit="1" customWidth="1"/>
    <col min="6" max="6" width="9.6640625" bestFit="1" customWidth="1"/>
    <col min="7" max="7" width="8.88671875" bestFit="1" customWidth="1"/>
    <col min="8" max="8" width="146.33203125" bestFit="1" customWidth="1"/>
    <col min="9" max="9" width="84.21875" bestFit="1" customWidth="1"/>
  </cols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1">
        <v>1</v>
      </c>
      <c r="C3" s="1" t="s">
        <v>8</v>
      </c>
      <c r="D3" s="1" t="s">
        <v>9</v>
      </c>
      <c r="E3" s="1">
        <v>2</v>
      </c>
      <c r="F3" s="2">
        <v>6.95</v>
      </c>
      <c r="G3" s="2">
        <f>E3*F3</f>
        <v>13.9</v>
      </c>
      <c r="H3" s="8" t="s">
        <v>51</v>
      </c>
      <c r="I3" s="4"/>
    </row>
    <row r="4" spans="2:9" x14ac:dyDescent="0.3">
      <c r="B4" s="1">
        <v>2</v>
      </c>
      <c r="C4" s="1" t="s">
        <v>10</v>
      </c>
      <c r="D4" s="1" t="s">
        <v>11</v>
      </c>
      <c r="E4" s="1">
        <v>1</v>
      </c>
      <c r="F4" s="2">
        <v>4.54</v>
      </c>
      <c r="G4" s="2">
        <f t="shared" ref="G4:G21" si="0">E4*F4</f>
        <v>4.54</v>
      </c>
      <c r="H4" s="8" t="s">
        <v>52</v>
      </c>
      <c r="I4" s="3" t="s">
        <v>12</v>
      </c>
    </row>
    <row r="5" spans="2:9" x14ac:dyDescent="0.3">
      <c r="B5" s="1">
        <v>3</v>
      </c>
      <c r="C5" s="1" t="s">
        <v>13</v>
      </c>
      <c r="D5" s="1" t="s">
        <v>14</v>
      </c>
      <c r="E5" s="1">
        <v>1</v>
      </c>
      <c r="F5" s="2">
        <v>8.7899999999999991</v>
      </c>
      <c r="G5" s="2">
        <f t="shared" si="0"/>
        <v>8.7899999999999991</v>
      </c>
      <c r="H5" s="8" t="s">
        <v>53</v>
      </c>
      <c r="I5" s="3" t="s">
        <v>15</v>
      </c>
    </row>
    <row r="6" spans="2:9" x14ac:dyDescent="0.3">
      <c r="B6" s="1">
        <v>4</v>
      </c>
      <c r="C6" s="1" t="s">
        <v>16</v>
      </c>
      <c r="D6" s="1" t="s">
        <v>17</v>
      </c>
      <c r="E6" s="1">
        <v>1</v>
      </c>
      <c r="F6" s="2">
        <v>4.38</v>
      </c>
      <c r="G6" s="2">
        <f t="shared" si="0"/>
        <v>4.38</v>
      </c>
      <c r="H6" s="8" t="s">
        <v>54</v>
      </c>
      <c r="I6" s="4"/>
    </row>
    <row r="7" spans="2:9" x14ac:dyDescent="0.3">
      <c r="B7" s="1">
        <v>5</v>
      </c>
      <c r="C7" s="1" t="s">
        <v>18</v>
      </c>
      <c r="D7" s="1" t="s">
        <v>19</v>
      </c>
      <c r="E7" s="1">
        <v>1</v>
      </c>
      <c r="F7" s="2">
        <v>19.45</v>
      </c>
      <c r="G7" s="2">
        <f t="shared" si="0"/>
        <v>19.45</v>
      </c>
      <c r="H7" s="8" t="s">
        <v>55</v>
      </c>
      <c r="I7" s="4"/>
    </row>
    <row r="8" spans="2:9" x14ac:dyDescent="0.3">
      <c r="B8" s="1">
        <v>6</v>
      </c>
      <c r="C8" s="1" t="s">
        <v>22</v>
      </c>
      <c r="D8" s="1" t="s">
        <v>23</v>
      </c>
      <c r="E8" s="1">
        <v>2</v>
      </c>
      <c r="F8" s="2">
        <v>2.79</v>
      </c>
      <c r="G8" s="2">
        <f t="shared" si="0"/>
        <v>5.58</v>
      </c>
      <c r="H8" s="8" t="s">
        <v>56</v>
      </c>
      <c r="I8" s="1"/>
    </row>
    <row r="9" spans="2:9" x14ac:dyDescent="0.3">
      <c r="B9" s="1">
        <v>7</v>
      </c>
      <c r="C9" s="1" t="s">
        <v>24</v>
      </c>
      <c r="D9" s="1" t="s">
        <v>25</v>
      </c>
      <c r="E9" s="1">
        <v>1</v>
      </c>
      <c r="F9" s="5">
        <v>15.31</v>
      </c>
      <c r="G9" s="5">
        <f t="shared" si="0"/>
        <v>15.31</v>
      </c>
      <c r="H9" s="8" t="s">
        <v>57</v>
      </c>
      <c r="I9" s="7" t="s">
        <v>50</v>
      </c>
    </row>
    <row r="10" spans="2:9" x14ac:dyDescent="0.3">
      <c r="B10" s="1">
        <v>8</v>
      </c>
      <c r="C10" s="1" t="s">
        <v>29</v>
      </c>
      <c r="D10" s="1" t="s">
        <v>26</v>
      </c>
      <c r="E10" s="1">
        <v>1</v>
      </c>
      <c r="F10" s="5">
        <v>2.41</v>
      </c>
      <c r="G10" s="5">
        <f t="shared" si="0"/>
        <v>2.41</v>
      </c>
      <c r="H10" s="4"/>
      <c r="I10" s="1"/>
    </row>
    <row r="11" spans="2:9" x14ac:dyDescent="0.3">
      <c r="B11" s="1">
        <v>9</v>
      </c>
      <c r="C11" s="1" t="s">
        <v>27</v>
      </c>
      <c r="D11" s="1" t="s">
        <v>28</v>
      </c>
      <c r="E11" s="1">
        <v>1</v>
      </c>
      <c r="F11" s="5">
        <v>3.76</v>
      </c>
      <c r="G11" s="5">
        <f t="shared" si="0"/>
        <v>3.76</v>
      </c>
      <c r="H11" s="8" t="s">
        <v>58</v>
      </c>
      <c r="I11" s="1"/>
    </row>
    <row r="12" spans="2:9" x14ac:dyDescent="0.3">
      <c r="B12" s="1">
        <v>10</v>
      </c>
      <c r="C12" s="1" t="s">
        <v>30</v>
      </c>
      <c r="D12" s="1" t="s">
        <v>31</v>
      </c>
      <c r="E12" s="1">
        <v>1</v>
      </c>
      <c r="F12" s="5">
        <v>0.15</v>
      </c>
      <c r="G12" s="5">
        <f t="shared" si="0"/>
        <v>0.15</v>
      </c>
      <c r="H12" s="8" t="s">
        <v>59</v>
      </c>
      <c r="I12" s="6"/>
    </row>
    <row r="13" spans="2:9" x14ac:dyDescent="0.3">
      <c r="B13" s="1">
        <v>11</v>
      </c>
      <c r="C13" s="1" t="s">
        <v>32</v>
      </c>
      <c r="D13" s="1" t="s">
        <v>33</v>
      </c>
      <c r="E13" s="1">
        <v>1</v>
      </c>
      <c r="F13" s="5">
        <v>0.16</v>
      </c>
      <c r="G13" s="5">
        <f t="shared" si="0"/>
        <v>0.16</v>
      </c>
      <c r="H13" s="8" t="s">
        <v>60</v>
      </c>
      <c r="I13" s="6"/>
    </row>
    <row r="14" spans="2:9" x14ac:dyDescent="0.3">
      <c r="B14" s="1">
        <v>12</v>
      </c>
      <c r="C14" s="1" t="s">
        <v>34</v>
      </c>
      <c r="D14" s="1" t="s">
        <v>35</v>
      </c>
      <c r="E14" s="1">
        <v>3</v>
      </c>
      <c r="F14" s="5">
        <v>0.6</v>
      </c>
      <c r="G14" s="5">
        <f t="shared" si="0"/>
        <v>1.7999999999999998</v>
      </c>
      <c r="H14" s="8" t="s">
        <v>61</v>
      </c>
      <c r="I14" s="6"/>
    </row>
    <row r="15" spans="2:9" x14ac:dyDescent="0.3">
      <c r="B15" s="1">
        <v>13</v>
      </c>
      <c r="C15" s="1" t="s">
        <v>36</v>
      </c>
      <c r="D15" s="1" t="s">
        <v>37</v>
      </c>
      <c r="E15" s="1">
        <v>5</v>
      </c>
      <c r="F15" s="5">
        <v>1.2</v>
      </c>
      <c r="G15" s="5">
        <f t="shared" si="0"/>
        <v>6</v>
      </c>
      <c r="H15" s="8" t="s">
        <v>62</v>
      </c>
      <c r="I15" s="6"/>
    </row>
    <row r="16" spans="2:9" x14ac:dyDescent="0.3">
      <c r="B16" s="1">
        <v>14</v>
      </c>
      <c r="C16" s="1" t="s">
        <v>38</v>
      </c>
      <c r="D16" s="1" t="s">
        <v>39</v>
      </c>
      <c r="E16" s="1">
        <v>1</v>
      </c>
      <c r="F16" s="5">
        <v>1.07</v>
      </c>
      <c r="G16" s="5">
        <f t="shared" si="0"/>
        <v>1.07</v>
      </c>
      <c r="H16" s="8" t="s">
        <v>63</v>
      </c>
      <c r="I16" s="6"/>
    </row>
    <row r="17" spans="2:9" x14ac:dyDescent="0.3">
      <c r="B17" s="1">
        <v>15</v>
      </c>
      <c r="C17" s="1" t="s">
        <v>41</v>
      </c>
      <c r="D17" s="1" t="s">
        <v>44</v>
      </c>
      <c r="E17" s="1">
        <v>3</v>
      </c>
      <c r="F17" s="5">
        <v>3.46</v>
      </c>
      <c r="G17" s="5">
        <f t="shared" si="0"/>
        <v>10.379999999999999</v>
      </c>
      <c r="H17" s="8" t="s">
        <v>64</v>
      </c>
      <c r="I17" s="6"/>
    </row>
    <row r="18" spans="2:9" x14ac:dyDescent="0.3">
      <c r="B18" s="1">
        <v>16</v>
      </c>
      <c r="C18" s="1" t="s">
        <v>40</v>
      </c>
      <c r="D18" s="1" t="s">
        <v>45</v>
      </c>
      <c r="E18" s="1">
        <v>1</v>
      </c>
      <c r="F18" s="5">
        <v>3.84</v>
      </c>
      <c r="G18" s="5">
        <f t="shared" si="0"/>
        <v>3.84</v>
      </c>
      <c r="H18" s="8" t="s">
        <v>65</v>
      </c>
      <c r="I18" s="6"/>
    </row>
    <row r="19" spans="2:9" x14ac:dyDescent="0.3">
      <c r="B19" s="1">
        <v>17</v>
      </c>
      <c r="C19" s="1" t="s">
        <v>42</v>
      </c>
      <c r="D19" s="1" t="s">
        <v>46</v>
      </c>
      <c r="E19" s="1">
        <v>2</v>
      </c>
      <c r="F19" s="5">
        <v>3.46</v>
      </c>
      <c r="G19" s="5">
        <f t="shared" si="0"/>
        <v>6.92</v>
      </c>
      <c r="H19" s="8" t="s">
        <v>66</v>
      </c>
      <c r="I19" s="6"/>
    </row>
    <row r="20" spans="2:9" x14ac:dyDescent="0.3">
      <c r="B20" s="1">
        <v>18</v>
      </c>
      <c r="C20" s="1" t="s">
        <v>43</v>
      </c>
      <c r="D20" s="1" t="s">
        <v>47</v>
      </c>
      <c r="E20" s="1">
        <v>1</v>
      </c>
      <c r="F20" s="5">
        <v>4.2300000000000004</v>
      </c>
      <c r="G20" s="5">
        <f t="shared" si="0"/>
        <v>4.2300000000000004</v>
      </c>
      <c r="H20" s="8" t="s">
        <v>67</v>
      </c>
      <c r="I20" s="6"/>
    </row>
    <row r="21" spans="2:9" x14ac:dyDescent="0.3">
      <c r="B21" s="1">
        <v>19</v>
      </c>
      <c r="C21" s="1" t="s">
        <v>48</v>
      </c>
      <c r="D21" s="1" t="s">
        <v>49</v>
      </c>
      <c r="E21" s="1">
        <v>1</v>
      </c>
      <c r="F21" s="5">
        <v>18.38</v>
      </c>
      <c r="G21" s="5">
        <f t="shared" si="0"/>
        <v>18.38</v>
      </c>
      <c r="H21" s="8" t="s">
        <v>68</v>
      </c>
      <c r="I21" s="6"/>
    </row>
    <row r="24" spans="2:9" x14ac:dyDescent="0.3">
      <c r="F24" s="1" t="s">
        <v>20</v>
      </c>
      <c r="G24" s="2">
        <f>SUM(G3:G21)</f>
        <v>131.05000000000001</v>
      </c>
    </row>
    <row r="25" spans="2:9" x14ac:dyDescent="0.3">
      <c r="F25" s="1" t="s">
        <v>21</v>
      </c>
      <c r="G25" s="2">
        <f>G24*1.15</f>
        <v>150.70750000000001</v>
      </c>
    </row>
  </sheetData>
  <hyperlinks>
    <hyperlink ref="I4" r:id="rId1" xr:uid="{565163EA-8273-4567-88DB-2E6A5C77F850}"/>
    <hyperlink ref="I5" r:id="rId2" xr:uid="{1FC42330-EEC8-49AA-88D7-D4E348DB007B}"/>
    <hyperlink ref="I9" r:id="rId3" xr:uid="{443B1BA2-5CAA-45E4-ADB1-E38D9B637DF9}"/>
    <hyperlink ref="H3" r:id="rId4" display="https://abra-electronics.com/electromechanical/motors/stepper-motors/mini-stepper-motors/mot-28byj48-stepper-motor-w-uln2003-driver.html" xr:uid="{E02AE038-E8DB-4980-848F-1848CCCDDF5C}"/>
    <hyperlink ref="H4" r:id="rId5" display="https://abra-electronics.com/ics-semiconductors/microcontrollers-pic/pic16f690-i-p-icpic16f690-i-ppdip-207k-fl-256b-ram8b-mcu18-i-o20mhz-pic16f690-i-p.html" xr:uid="{BD052C28-824D-4CED-A0C7-2C41BE1BCB59}"/>
    <hyperlink ref="H5" r:id="rId6" display="https://abra-electronics.com/robotics-embedded-electronics/breakout-boards/clocks/ard-ds3231-super-accurate-real-time-clock-ds3231.html" xr:uid="{BAE7B518-9D67-44CE-A3B6-F5F18ED4FBDC}"/>
    <hyperlink ref="H6" r:id="rId7" display="https://abra-electronics.com/passive-components/potentiometers/digital-potentiometers/digital-rotatory-potentiometer-module-for-arduino.html" xr:uid="{DA123158-2794-469A-9DAF-1BF29A5FF5D2}"/>
    <hyperlink ref="H7" r:id="rId8" display="https://abra-electronics.com/robotics-embedded-electronics/arduino-boards/abranano-abra-arduino-nano-v3.0-compatible-atmega328p.html" xr:uid="{1CAD3D2D-9135-4A3F-AE33-283598667682}"/>
    <hyperlink ref="H8" r:id="rId9" display="https://abra-electronics.com/sensors/sensors-magneto-en-2/sens-67-magnetic-hall-effect-sensor-for-5v-microcontrollers.html" xr:uid="{EC33D642-BF99-4F35-9DC7-9BD7CF2D866E}"/>
    <hyperlink ref="H9" r:id="rId10" display="https://abra-electronics.com/robotics-embedded-electronics/arduino-shields/audio-video-game-shields/dfr0299-dfplayer-a-mini-mp3-player-dfr0299.html" xr:uid="{1C1C5DAA-EE91-4B6C-A19D-96343DE698EC}"/>
    <hyperlink ref="H11" r:id="rId11" display="https://abra-electronics.com/electromechanical/audible-devices/speakers/1314-ada-speaker-3-diameter-4-ohm-3-watt-1314-ada.html" xr:uid="{4DC33FE8-167A-467E-9655-2B10B01F4C82}"/>
    <hyperlink ref="H13" r:id="rId12" display="https://abra-electronics.com/interconnects/sockets/standard-tin-low-profile-sockets/20lp-solder-tail-low-profile-socket-20-pins-20lp.html" xr:uid="{41CC8C9F-6E2B-4E1F-878A-7F04B81550A1}"/>
    <hyperlink ref="H14" r:id="rId13" display="https://abra-electronics.com/electromechanical/switches/slide-switches/ssw-110-slide-switch-spdt-on-on-solder-tabs.html" xr:uid="{2585703F-4320-45C0-9F3C-0BB5CC1CFB14}"/>
    <hyperlink ref="H15" r:id="rId14" display="https://abra-electronics.com/electromechanical/switches/pushbutton-switches/momentary-push-button-switch-red-normally-open.html" xr:uid="{D20D6889-856D-4D9C-81F6-01DB86CAE566}"/>
    <hyperlink ref="H16" r:id="rId15" display="https://abra-electronics.com/interconnects/connectors/headers/female/fh-1-header-1-row-x-40-pins-straight-female-receptacle.html" xr:uid="{C7B52313-2A6B-4C5D-9A4A-01ECC075EE78}"/>
    <hyperlink ref="H12" r:id="rId16" display="https://abra-electronics.com/interconnects/sockets/standard-tin-low-profile-sockets/18lp-solder-tail-low-profile-socket-18-pins-18lp.html" xr:uid="{3AC62B1A-2503-47F8-AA08-844438C0AE26}"/>
    <hyperlink ref="H17" r:id="rId17" display="https://abra-electronics.com/interconnects/terminals-blocks-barrier/terminal-blocks/screw-terminal-blocks/2491p-screw-terminal-block-2-pin-0.1-pitch-side-entry-4-pack.html" xr:uid="{0950FA00-93B1-450C-9744-90D0FADFC0C3}"/>
    <hyperlink ref="H18" r:id="rId18" display="https://abra-electronics.com/interconnects/terminals-blocks-barrier/terminal-blocks/screw-terminal-blocks/2492p-screw-terminal-block-3-pin-0.1-pitch-side-entry-3-pack.html" xr:uid="{4C51EAB4-3789-45F9-B050-2E8937CD862E}"/>
    <hyperlink ref="H19" r:id="rId19" display="https://abra-electronics.com/interconnects/terminals-blocks-barrier/terminal-blocks/screw-terminal-blocks/2493p-screw-terminal-block-4-pin-0.1-pitch-side-entry-2-pack.html" xr:uid="{94E81F11-272B-4D54-B764-0A38B87922F7}"/>
    <hyperlink ref="H20" r:id="rId20" display="https://abra-electronics.com/interconnects/terminals-blocks-barrier/terminal-blocks/screw-terminal-blocks/2494p-screw-terminal-block-5-pin-0.1-pitch-side-entry-2-pack.html" xr:uid="{3EA20262-7CD7-4B33-A8AD-70F468238347}"/>
    <hyperlink ref="H21" r:id="rId21" display="https://jlcpcb.com/" xr:uid="{D3B95E5E-CFC3-4C56-89B3-E602037786D0}"/>
  </hyperlinks>
  <pageMargins left="0.7" right="0.7" top="0.75" bottom="0.75" header="0.3" footer="0.3"/>
  <pageSetup orientation="portrait" horizontalDpi="0" verticalDpi="0"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c8b083-f14b-4e2a-a86d-0269585f9c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F42BF859D4E4FB4D1D2FC23C65604" ma:contentTypeVersion="15" ma:contentTypeDescription="Create a new document." ma:contentTypeScope="" ma:versionID="f5c3f922bdcc03a38408146a00462c26">
  <xsd:schema xmlns:xsd="http://www.w3.org/2001/XMLSchema" xmlns:xs="http://www.w3.org/2001/XMLSchema" xmlns:p="http://schemas.microsoft.com/office/2006/metadata/properties" xmlns:ns3="ddc8b083-f14b-4e2a-a86d-0269585f9c1a" xmlns:ns4="c76bc2fb-8d45-40d7-b205-149412e45091" targetNamespace="http://schemas.microsoft.com/office/2006/metadata/properties" ma:root="true" ma:fieldsID="4bc480d3d67fe8d4eb22b14981e9b266" ns3:_="" ns4:_="">
    <xsd:import namespace="ddc8b083-f14b-4e2a-a86d-0269585f9c1a"/>
    <xsd:import namespace="c76bc2fb-8d45-40d7-b205-149412e450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8b083-f14b-4e2a-a86d-0269585f9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bc2fb-8d45-40d7-b205-149412e450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3F3D6F-5EC0-4976-9234-CDF4B6FA7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8DF329-744E-4573-8E0C-9FCAC979860D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ddc8b083-f14b-4e2a-a86d-0269585f9c1a"/>
    <ds:schemaRef ds:uri="c76bc2fb-8d45-40d7-b205-149412e45091"/>
  </ds:schemaRefs>
</ds:datastoreItem>
</file>

<file path=customXml/itemProps3.xml><?xml version="1.0" encoding="utf-8"?>
<ds:datastoreItem xmlns:ds="http://schemas.openxmlformats.org/officeDocument/2006/customXml" ds:itemID="{F68C68CA-9E97-49FC-8F5F-B61B8A986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c8b083-f14b-4e2a-a86d-0269585f9c1a"/>
    <ds:schemaRef ds:uri="c76bc2fb-8d45-40d7-b205-149412e450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Rosales</dc:creator>
  <cp:keywords/>
  <dc:description/>
  <cp:lastModifiedBy>Marco Rosales</cp:lastModifiedBy>
  <cp:revision/>
  <dcterms:created xsi:type="dcterms:W3CDTF">2023-03-20T18:48:43Z</dcterms:created>
  <dcterms:modified xsi:type="dcterms:W3CDTF">2023-04-28T23:20:43Z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0x010100A7BF42BF859D4E4FB4D1D2FC23C65604</vt:lpwstr>
  </property>
</Properties>
</file>